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e\Downloads\"/>
    </mc:Choice>
  </mc:AlternateContent>
  <xr:revisionPtr revIDLastSave="0" documentId="13_ncr:1_{0C118354-FEEC-4BAD-B46D-DDB688134712}" xr6:coauthVersionLast="47" xr6:coauthVersionMax="47" xr10:uidLastSave="{00000000-0000-0000-0000-000000000000}"/>
  <bookViews>
    <workbookView xWindow="-108" yWindow="-108" windowWidth="23256" windowHeight="12456" xr2:uid="{DB962AA2-3131-4457-BD0C-54827816F854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" i="1" l="1"/>
  <c r="I25" i="1"/>
  <c r="I26" i="1"/>
  <c r="H26" i="1"/>
  <c r="F25" i="1"/>
  <c r="G25" i="1"/>
  <c r="H25" i="1"/>
  <c r="J25" i="1"/>
  <c r="J26" i="1"/>
  <c r="K25" i="1"/>
  <c r="K26" i="1"/>
  <c r="L26" i="1" l="1"/>
  <c r="L27" i="1" s="1"/>
  <c r="L29" i="1" l="1"/>
  <c r="L30" i="1" s="1"/>
</calcChain>
</file>

<file path=xl/sharedStrings.xml><?xml version="1.0" encoding="utf-8"?>
<sst xmlns="http://schemas.openxmlformats.org/spreadsheetml/2006/main" count="28" uniqueCount="28">
  <si>
    <t>Roles</t>
  </si>
  <si>
    <t>Arq. Sofw</t>
  </si>
  <si>
    <t>Desarrollador Back</t>
  </si>
  <si>
    <t>D. Front</t>
  </si>
  <si>
    <t>Analista</t>
  </si>
  <si>
    <t>Auxiliar</t>
  </si>
  <si>
    <t>Salario</t>
  </si>
  <si>
    <t>Cantidad</t>
  </si>
  <si>
    <t>Participacion</t>
  </si>
  <si>
    <t>Fases</t>
  </si>
  <si>
    <t>Inicio</t>
  </si>
  <si>
    <t>Stak - HU</t>
  </si>
  <si>
    <t>CU - Plan</t>
  </si>
  <si>
    <t>Elaboracion</t>
  </si>
  <si>
    <t>CUN1-Esp.Req</t>
  </si>
  <si>
    <t>Modelo Diseño</t>
  </si>
  <si>
    <t>Prototipos</t>
  </si>
  <si>
    <t>Construccion</t>
  </si>
  <si>
    <t>Impl. Modulos</t>
  </si>
  <si>
    <t>Eval Arq.</t>
  </si>
  <si>
    <t>Transicion</t>
  </si>
  <si>
    <t>Pruebas - Mejoro proto</t>
  </si>
  <si>
    <t>Despliegue</t>
  </si>
  <si>
    <t>Documentacion</t>
  </si>
  <si>
    <t>1 it = 15 dias</t>
  </si>
  <si>
    <t>Costo</t>
  </si>
  <si>
    <t>Costos</t>
  </si>
  <si>
    <t>Valor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</si>
</sst>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0" xfId="0" applyFill="1"/>
    <xf numFmtId="0" fontId="0" fillId="4" borderId="1" xfId="0" applyFill="1" applyBorder="1"/>
    <xf numFmtId="9" fontId="0" fillId="4" borderId="1" xfId="2" applyFont="1" applyFill="1" applyBorder="1"/>
    <xf numFmtId="164" fontId="0" fillId="0" borderId="0" xfId="0" applyNumberFormat="1"/>
    <xf numFmtId="164" fontId="0" fillId="0" borderId="1" xfId="0" applyNumberFormat="1" applyBorder="1"/>
    <xf numFmtId="165" fontId="0" fillId="4" borderId="1" xfId="1" applyNumberFormat="1" applyFont="1" applyFill="1" applyBorder="1"/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6B996-FA04-4BB3-AE25-24FD1024F045}">
  <dimension ref="E3:R31"/>
  <sheetViews>
    <sheetView tabSelected="1" topLeftCell="D4" workbookViewId="0">
      <selection activeCell="G6" sqref="G6"/>
    </sheetView>
  </sheetViews>
  <sheetFormatPr baseColWidth="10" defaultColWidth="11.44140625" defaultRowHeight="14.4" x14ac:dyDescent="0.3"/>
  <cols>
    <col min="5" max="5" width="21.6640625" bestFit="1" customWidth="1"/>
    <col min="7" max="7" width="14" bestFit="1" customWidth="1"/>
    <col min="8" max="8" width="17.6640625" bestFit="1" customWidth="1"/>
    <col min="9" max="11" width="13" bestFit="1" customWidth="1"/>
    <col min="12" max="12" width="16.6640625" bestFit="1" customWidth="1"/>
  </cols>
  <sheetData>
    <row r="3" spans="5:18" x14ac:dyDescent="0.3">
      <c r="G3" s="12" t="s">
        <v>0</v>
      </c>
      <c r="H3" s="12"/>
      <c r="I3" s="12"/>
      <c r="J3" s="12"/>
      <c r="K3" s="12"/>
    </row>
    <row r="4" spans="5:18" x14ac:dyDescent="0.3">
      <c r="G4" s="6" t="s">
        <v>1</v>
      </c>
      <c r="H4" s="6" t="s">
        <v>2</v>
      </c>
      <c r="I4" s="6" t="s">
        <v>3</v>
      </c>
      <c r="J4" s="6" t="s">
        <v>4</v>
      </c>
      <c r="K4" s="6" t="s">
        <v>5</v>
      </c>
    </row>
    <row r="5" spans="5:18" x14ac:dyDescent="0.3">
      <c r="E5" s="5" t="s">
        <v>6</v>
      </c>
      <c r="F5" s="5"/>
      <c r="G5" s="10">
        <v>1250</v>
      </c>
      <c r="H5" s="10">
        <v>1100</v>
      </c>
      <c r="I5" s="10">
        <v>500</v>
      </c>
      <c r="J5" s="10">
        <v>1100</v>
      </c>
      <c r="K5" s="10">
        <v>400</v>
      </c>
    </row>
    <row r="6" spans="5:18" x14ac:dyDescent="0.3">
      <c r="E6" s="5" t="s">
        <v>7</v>
      </c>
      <c r="F6" s="5"/>
      <c r="G6" s="6">
        <v>1</v>
      </c>
      <c r="H6" s="6">
        <v>2</v>
      </c>
      <c r="I6" s="6">
        <v>1</v>
      </c>
      <c r="J6" s="6">
        <v>0</v>
      </c>
      <c r="K6" s="6">
        <v>1</v>
      </c>
    </row>
    <row r="7" spans="5:18" x14ac:dyDescent="0.3">
      <c r="E7" s="5" t="s">
        <v>8</v>
      </c>
      <c r="F7" s="5"/>
      <c r="G7" s="7">
        <v>0.6</v>
      </c>
      <c r="H7" s="7">
        <v>0.9</v>
      </c>
      <c r="I7" s="7">
        <v>0.9</v>
      </c>
      <c r="J7" s="7">
        <v>0</v>
      </c>
      <c r="K7" s="7">
        <v>1</v>
      </c>
      <c r="M7" s="11"/>
      <c r="N7" s="11"/>
      <c r="O7" s="11"/>
      <c r="P7" s="11"/>
      <c r="Q7" s="11"/>
      <c r="R7" s="11"/>
    </row>
    <row r="8" spans="5:18" x14ac:dyDescent="0.3">
      <c r="G8" s="1"/>
      <c r="H8" s="1"/>
      <c r="I8" s="1"/>
      <c r="J8" s="1"/>
      <c r="K8" s="1"/>
    </row>
    <row r="9" spans="5:18" x14ac:dyDescent="0.3">
      <c r="E9" s="2" t="s">
        <v>9</v>
      </c>
      <c r="F9" s="1"/>
      <c r="G9" s="1"/>
      <c r="H9" s="1"/>
      <c r="I9" s="1"/>
      <c r="J9" s="1"/>
      <c r="K9" s="1"/>
    </row>
    <row r="10" spans="5:18" x14ac:dyDescent="0.3">
      <c r="E10" s="3" t="s">
        <v>10</v>
      </c>
      <c r="F10" s="1">
        <v>2</v>
      </c>
      <c r="G10" s="1">
        <v>1</v>
      </c>
      <c r="H10" s="1"/>
      <c r="I10" s="1"/>
      <c r="J10" s="1"/>
      <c r="K10" s="1">
        <v>2</v>
      </c>
    </row>
    <row r="11" spans="5:18" x14ac:dyDescent="0.3">
      <c r="E11" s="2" t="s">
        <v>11</v>
      </c>
      <c r="F11" s="1"/>
      <c r="G11" s="1"/>
      <c r="H11" s="1"/>
      <c r="I11" s="1"/>
      <c r="J11" s="1"/>
      <c r="K11" s="1"/>
    </row>
    <row r="12" spans="5:18" x14ac:dyDescent="0.3">
      <c r="E12" s="2" t="s">
        <v>12</v>
      </c>
      <c r="F12" s="1"/>
      <c r="G12" s="1"/>
      <c r="H12" s="1"/>
      <c r="I12" s="1"/>
      <c r="J12" s="1"/>
      <c r="K12" s="1"/>
    </row>
    <row r="13" spans="5:18" x14ac:dyDescent="0.3">
      <c r="E13" s="3" t="s">
        <v>13</v>
      </c>
      <c r="F13" s="1">
        <v>4</v>
      </c>
      <c r="G13" s="1">
        <v>4</v>
      </c>
      <c r="H13" s="1">
        <v>1</v>
      </c>
      <c r="I13" s="1">
        <v>1</v>
      </c>
      <c r="J13" s="1"/>
      <c r="K13" s="1">
        <v>4</v>
      </c>
    </row>
    <row r="14" spans="5:18" x14ac:dyDescent="0.3">
      <c r="E14" s="2" t="s">
        <v>14</v>
      </c>
      <c r="F14" s="1"/>
      <c r="G14" s="1"/>
      <c r="H14" s="1"/>
      <c r="I14" s="1"/>
      <c r="J14" s="1"/>
      <c r="K14" s="1"/>
    </row>
    <row r="15" spans="5:18" x14ac:dyDescent="0.3">
      <c r="E15" s="2" t="s">
        <v>15</v>
      </c>
      <c r="F15" s="1"/>
      <c r="G15" s="1"/>
      <c r="H15" s="1"/>
      <c r="I15" s="1"/>
      <c r="J15" s="1"/>
      <c r="K15" s="1"/>
    </row>
    <row r="16" spans="5:18" x14ac:dyDescent="0.3">
      <c r="E16" s="2" t="s">
        <v>16</v>
      </c>
      <c r="F16" s="1"/>
      <c r="G16" s="1"/>
      <c r="H16" s="1"/>
      <c r="I16" s="1"/>
      <c r="J16" s="1"/>
      <c r="K16" s="1"/>
    </row>
    <row r="17" spans="5:18" x14ac:dyDescent="0.3">
      <c r="E17" s="4" t="s">
        <v>17</v>
      </c>
      <c r="F17" s="1">
        <v>4</v>
      </c>
      <c r="G17" s="1">
        <v>4</v>
      </c>
      <c r="H17" s="1">
        <v>4</v>
      </c>
      <c r="I17" s="1">
        <v>4</v>
      </c>
      <c r="J17" s="1"/>
      <c r="K17" s="1">
        <v>3</v>
      </c>
    </row>
    <row r="18" spans="5:18" x14ac:dyDescent="0.3">
      <c r="E18" s="2" t="s">
        <v>18</v>
      </c>
      <c r="F18" s="1"/>
      <c r="G18" s="1"/>
      <c r="H18" s="1"/>
      <c r="I18" s="1"/>
      <c r="J18" s="1"/>
      <c r="K18" s="1"/>
    </row>
    <row r="19" spans="5:18" x14ac:dyDescent="0.3">
      <c r="E19" s="2" t="s">
        <v>19</v>
      </c>
      <c r="F19" s="1"/>
      <c r="G19" s="1"/>
      <c r="H19" s="1"/>
      <c r="I19" s="1"/>
      <c r="J19" s="1"/>
      <c r="K19" s="1"/>
    </row>
    <row r="20" spans="5:18" x14ac:dyDescent="0.3">
      <c r="E20" s="4" t="s">
        <v>20</v>
      </c>
      <c r="F20" s="1">
        <v>2</v>
      </c>
      <c r="G20" s="1">
        <v>2</v>
      </c>
      <c r="H20" s="1">
        <v>1</v>
      </c>
      <c r="I20" s="1"/>
      <c r="J20" s="1"/>
      <c r="K20" s="1">
        <v>2</v>
      </c>
    </row>
    <row r="21" spans="5:18" x14ac:dyDescent="0.3">
      <c r="E21" s="2" t="s">
        <v>21</v>
      </c>
      <c r="F21" s="1"/>
      <c r="G21" s="1"/>
      <c r="H21" s="1"/>
      <c r="I21" s="1"/>
      <c r="J21" s="1"/>
      <c r="K21" s="1"/>
    </row>
    <row r="22" spans="5:18" x14ac:dyDescent="0.3">
      <c r="E22" s="2" t="s">
        <v>22</v>
      </c>
      <c r="F22" s="1"/>
      <c r="G22" s="1"/>
      <c r="H22" s="1"/>
      <c r="I22" s="1"/>
      <c r="J22" s="1"/>
      <c r="K22" s="1"/>
    </row>
    <row r="23" spans="5:18" x14ac:dyDescent="0.3">
      <c r="E23" s="2" t="s">
        <v>23</v>
      </c>
      <c r="F23" s="1"/>
      <c r="G23" s="1"/>
      <c r="H23" s="1"/>
      <c r="I23" s="1"/>
      <c r="J23" s="1"/>
      <c r="K23" s="1"/>
    </row>
    <row r="25" spans="5:18" x14ac:dyDescent="0.3">
      <c r="E25" s="2" t="s">
        <v>24</v>
      </c>
      <c r="F25" s="1">
        <f>SUM(F9:F22)</f>
        <v>12</v>
      </c>
      <c r="G25" s="1">
        <f t="shared" ref="G25:K25" si="0">SUM(G9:G22)</f>
        <v>11</v>
      </c>
      <c r="H25" s="1">
        <f t="shared" si="0"/>
        <v>6</v>
      </c>
      <c r="I25" s="1">
        <f t="shared" si="0"/>
        <v>5</v>
      </c>
      <c r="J25" s="1">
        <f t="shared" si="0"/>
        <v>0</v>
      </c>
      <c r="K25" s="1">
        <f t="shared" si="0"/>
        <v>11</v>
      </c>
      <c r="L25" s="1"/>
    </row>
    <row r="26" spans="5:18" x14ac:dyDescent="0.3">
      <c r="E26" s="2" t="s">
        <v>25</v>
      </c>
      <c r="F26" s="1"/>
      <c r="G26" s="9">
        <f>G25*(G5/2)*G6*G7</f>
        <v>4125</v>
      </c>
      <c r="H26" s="9">
        <f>H25*(H5/2)*H6*H7</f>
        <v>5940</v>
      </c>
      <c r="I26" s="9">
        <f t="shared" ref="I26:K26" si="1">I25*(I5/2)*I6*I7</f>
        <v>1125</v>
      </c>
      <c r="J26" s="9">
        <f t="shared" si="1"/>
        <v>0</v>
      </c>
      <c r="K26" s="9">
        <f t="shared" si="1"/>
        <v>2200</v>
      </c>
      <c r="L26" s="9">
        <f>SUM(G26:K26)</f>
        <v>13390</v>
      </c>
    </row>
    <row r="27" spans="5:18" x14ac:dyDescent="0.3">
      <c r="L27" s="9">
        <f>L26*0.1</f>
        <v>1339</v>
      </c>
    </row>
    <row r="28" spans="5:18" x14ac:dyDescent="0.3">
      <c r="L28" s="8"/>
    </row>
    <row r="29" spans="5:18" x14ac:dyDescent="0.3">
      <c r="K29" s="1" t="s">
        <v>26</v>
      </c>
      <c r="L29" s="9">
        <f>SUM($L$26:$L$27)</f>
        <v>14729</v>
      </c>
    </row>
    <row r="30" spans="5:18" x14ac:dyDescent="0.3">
      <c r="K30" s="1" t="s">
        <v>27</v>
      </c>
      <c r="L30" s="9">
        <f>L29*0.35 + L29</f>
        <v>19884.150000000001</v>
      </c>
      <c r="M30" s="11"/>
      <c r="N30" s="11"/>
      <c r="O30" s="11"/>
      <c r="P30" s="11"/>
      <c r="Q30" s="11"/>
      <c r="R30" s="11"/>
    </row>
    <row r="31" spans="5:18" x14ac:dyDescent="0.3"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</row>
  </sheetData>
  <mergeCells count="4">
    <mergeCell ref="E31:R31"/>
    <mergeCell ref="M7:R7"/>
    <mergeCell ref="M30:R30"/>
    <mergeCell ref="G3:K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>Universidad del Magdalena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ESTUDIANTE</dc:creator>
  <cp:keywords/>
  <dc:description/>
  <cp:lastModifiedBy>LUIS JAVIER SAUMETH ANAYA</cp:lastModifiedBy>
  <cp:revision/>
  <dcterms:created xsi:type="dcterms:W3CDTF">2026-08-19T17:16:07Z</dcterms:created>
  <dcterms:modified xsi:type="dcterms:W3CDTF">2026-09-07T01:45:47Z</dcterms:modified>
  <cp:category/>
  <cp:contentStatus/>
</cp:coreProperties>
</file>